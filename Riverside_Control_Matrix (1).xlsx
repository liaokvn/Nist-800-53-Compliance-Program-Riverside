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ntrol Matrix" sheetId="1" state="visible" r:id="rId1"/>
    <sheet xmlns:r="http://schemas.openxmlformats.org/officeDocument/2006/relationships" name="Summary" sheetId="2" state="visible" r:id="rId2"/>
  </sheets>
  <definedNames>
    <definedName name="_xlnm.Print_Titles" localSheetId="0">'Control Matrix'!$1:$4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5F"/>
      <sz val="16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856404"/>
      <sz val="10"/>
    </font>
    <font>
      <name val="Arial"/>
      <charset val="1"/>
      <family val="0"/>
      <b val="1"/>
      <color rgb="FF155724"/>
      <sz val="10"/>
    </font>
    <font>
      <name val="Arial"/>
      <charset val="1"/>
      <family val="0"/>
      <b val="1"/>
      <color rgb="FF721C24"/>
      <sz val="10"/>
    </font>
  </fonts>
  <fills count="6">
    <fill>
      <patternFill/>
    </fill>
    <fill>
      <patternFill patternType="gray125"/>
    </fill>
    <fill>
      <patternFill patternType="solid">
        <fgColor rgb="FF1F4E5F"/>
        <bgColor rgb="FF155724"/>
      </patternFill>
    </fill>
    <fill>
      <patternFill patternType="solid">
        <fgColor rgb="FFFFF3CD"/>
        <bgColor rgb="FFFFFFFF"/>
      </patternFill>
    </fill>
    <fill>
      <patternFill patternType="solid">
        <fgColor rgb="FFD4EDDA"/>
        <bgColor rgb="FFCCFFFF"/>
      </patternFill>
    </fill>
    <fill>
      <patternFill patternType="solid">
        <fgColor rgb="FFF8D7DA"/>
        <bgColor rgb="FFFFF3C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9" fillId="3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9" fillId="3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BFBFBF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155724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6" min="1" max="1"/>
    <col width="22" customWidth="1" style="16" min="2" max="2"/>
    <col width="34" customWidth="1" style="16" min="3" max="3"/>
    <col width="13" customWidth="1" style="16" min="4" max="4"/>
    <col width="18" customWidth="1" style="16" min="5" max="5"/>
    <col width="42" customWidth="1" style="16" min="6" max="6"/>
    <col width="16" customWidth="1" style="16" min="7" max="7"/>
  </cols>
  <sheetData>
    <row r="1" ht="24" customHeight="1" s="17">
      <c r="A1" s="18" t="inlineStr">
        <is>
          <t>Riverside Physical Therapy — NIST 800-53 Control Matrix</t>
        </is>
      </c>
    </row>
    <row r="2" ht="15.75" customHeight="1" s="17">
      <c r="A2" s="19" t="inlineStr">
        <is>
          <t>Mini Compliance Program | Framework: NIST SP 800-53 (HIPAA-aligned) | Prepared by Kevin Liao</t>
        </is>
      </c>
    </row>
    <row r="4" ht="21.75" customHeight="1" s="17">
      <c r="A4" s="20" t="inlineStr">
        <is>
          <t>Control ID</t>
        </is>
      </c>
      <c r="B4" s="20" t="inlineStr">
        <is>
          <t>Family</t>
        </is>
      </c>
      <c r="C4" s="20" t="inlineStr">
        <is>
          <t>Requirement</t>
        </is>
      </c>
      <c r="D4" s="20" t="inlineStr">
        <is>
          <t>Current Status</t>
        </is>
      </c>
      <c r="E4" s="20" t="inlineStr">
        <is>
          <t>Owner</t>
        </is>
      </c>
      <c r="F4" s="20" t="inlineStr">
        <is>
          <t>Needed Actions / Remediation</t>
        </is>
      </c>
      <c r="G4" s="20" t="inlineStr">
        <is>
          <t>Notes</t>
        </is>
      </c>
    </row>
    <row r="5" ht="48" customHeight="1" s="17">
      <c r="A5" s="21" t="inlineStr">
        <is>
          <t>AC-2</t>
        </is>
      </c>
      <c r="B5" s="22" t="inlineStr">
        <is>
          <t>Access Control</t>
        </is>
      </c>
      <c r="C5" s="22" t="inlineStr">
        <is>
          <t>Account Management: Accounts are created/disabled informally by IT support; no documented review cycle.</t>
        </is>
      </c>
      <c r="D5" s="23" t="inlineStr">
        <is>
          <t>Partial</t>
        </is>
      </c>
      <c r="E5" s="22" t="inlineStr">
        <is>
          <t>IT Support Specialist</t>
        </is>
      </c>
      <c r="F5" s="22" t="inlineStr">
        <is>
          <t>Establish a quarterly access review and a documented offboarding checklist for departing staff.</t>
        </is>
      </c>
      <c r="G5" s="22" t="n"/>
    </row>
    <row r="6" ht="48" customHeight="1" s="17">
      <c r="A6" s="21" t="inlineStr">
        <is>
          <t>AC-3</t>
        </is>
      </c>
      <c r="B6" s="22" t="inlineStr">
        <is>
          <t>Access Control</t>
        </is>
      </c>
      <c r="C6" s="22" t="inlineStr">
        <is>
          <t>Access Enforcement: EHR has role-based permissions out of the box, actively used.</t>
        </is>
      </c>
      <c r="D6" s="24" t="inlineStr">
        <is>
          <t>Implemented</t>
        </is>
      </c>
      <c r="E6" s="22" t="inlineStr">
        <is>
          <t>IT Support Specialist</t>
        </is>
      </c>
      <c r="F6" s="22" t="inlineStr">
        <is>
          <t>Maintain current role-based permissions; periodically verify roles still match job duties as staff change positions.</t>
        </is>
      </c>
      <c r="G6" s="22" t="n"/>
    </row>
    <row r="7" ht="48" customHeight="1" s="17">
      <c r="A7" s="21" t="inlineStr">
        <is>
          <t>AC-17</t>
        </is>
      </c>
      <c r="B7" s="22" t="inlineStr">
        <is>
          <t>Access Control</t>
        </is>
      </c>
      <c r="C7" s="22" t="inlineStr">
        <is>
          <t>Remote Access: VPN exists but no formal remote access policy or usage monitoring.</t>
        </is>
      </c>
      <c r="D7" s="23" t="inlineStr">
        <is>
          <t>Partial</t>
        </is>
      </c>
      <c r="E7" s="22" t="inlineStr">
        <is>
          <t>IT Support Specialist</t>
        </is>
      </c>
      <c r="F7" s="22" t="inlineStr">
        <is>
          <t>Draft a remote access policy defining who may use VPN, under what conditions, and add basic usage logging.</t>
        </is>
      </c>
      <c r="G7" s="22" t="n"/>
    </row>
    <row r="8" ht="48" customHeight="1" s="17">
      <c r="A8" s="21" t="inlineStr">
        <is>
          <t>AU-2</t>
        </is>
      </c>
      <c r="B8" s="22" t="inlineStr">
        <is>
          <t>Audit &amp; Accountability</t>
        </is>
      </c>
      <c r="C8" s="22" t="inlineStr">
        <is>
          <t>Event Logging: Default OS/EHR logging exists but isn't configured intentionally.</t>
        </is>
      </c>
      <c r="D8" s="23" t="inlineStr">
        <is>
          <t>Partial</t>
        </is>
      </c>
      <c r="E8" s="22" t="inlineStr">
        <is>
          <t>IT Support Specialist</t>
        </is>
      </c>
      <c r="F8" s="22" t="inlineStr">
        <is>
          <t>Define which events must be logged (logins, PHI record access, failed access attempts) and confirm systems are configured accordingly.</t>
        </is>
      </c>
      <c r="G8" s="22" t="n"/>
    </row>
    <row r="9" ht="48" customHeight="1" s="17">
      <c r="A9" s="21" t="inlineStr">
        <is>
          <t>AU-6</t>
        </is>
      </c>
      <c r="B9" s="22" t="inlineStr">
        <is>
          <t>Audit &amp; Accountability</t>
        </is>
      </c>
      <c r="C9" s="22" t="inlineStr">
        <is>
          <t>Audit Record Review, Analysis, and Reporting: No one reviews logs unless an issue is already reported.</t>
        </is>
      </c>
      <c r="D9" s="25" t="inlineStr">
        <is>
          <t>Missing</t>
        </is>
      </c>
      <c r="E9" s="22" t="inlineStr">
        <is>
          <t>IT Support Specialist</t>
        </is>
      </c>
      <c r="F9" s="22" t="inlineStr">
        <is>
          <t>Implement a monthly log review routine, even if manual, to catch anomalies before they become incidents.</t>
        </is>
      </c>
      <c r="G9" s="22" t="n"/>
    </row>
    <row r="10" ht="48" customHeight="1" s="17">
      <c r="A10" s="21" t="inlineStr">
        <is>
          <t>IR-1</t>
        </is>
      </c>
      <c r="B10" s="22" t="inlineStr">
        <is>
          <t>Incident Response</t>
        </is>
      </c>
      <c r="C10" s="22" t="inlineStr">
        <is>
          <t>Incident Response Policy &amp; Procedures: No documented incident response plan exists.</t>
        </is>
      </c>
      <c r="D10" s="25" t="inlineStr">
        <is>
          <t>Missing</t>
        </is>
      </c>
      <c r="E10" s="22" t="inlineStr">
        <is>
          <t>Clinic Director</t>
        </is>
      </c>
      <c r="F10" s="22" t="inlineStr">
        <is>
          <t>Approve and formally adopt a written incident response policy outlining roles, escalation, and response steps.</t>
        </is>
      </c>
      <c r="G10" s="22" t="n"/>
    </row>
    <row r="11" ht="48" customHeight="1" s="17">
      <c r="A11" s="21" t="inlineStr">
        <is>
          <t>IR-4</t>
        </is>
      </c>
      <c r="B11" s="22" t="inlineStr">
        <is>
          <t>Incident Response</t>
        </is>
      </c>
      <c r="C11" s="22" t="inlineStr">
        <is>
          <t>Incident Handling: IT support reacts to issues ad hoc; no formal containment/eradication process.</t>
        </is>
      </c>
      <c r="D11" s="23" t="inlineStr">
        <is>
          <t>Partial</t>
        </is>
      </c>
      <c r="E11" s="22" t="inlineStr">
        <is>
          <t>IT Support Specialist</t>
        </is>
      </c>
      <c r="F11" s="22" t="inlineStr">
        <is>
          <t>Build a basic incident handling runbook covering identification, containment, and recovery steps.</t>
        </is>
      </c>
      <c r="G11" s="22" t="n"/>
    </row>
    <row r="12" ht="48" customHeight="1" s="17">
      <c r="A12" s="21" t="inlineStr">
        <is>
          <t>IR-6</t>
        </is>
      </c>
      <c r="B12" s="22" t="inlineStr">
        <is>
          <t>Incident Response</t>
        </is>
      </c>
      <c r="C12" s="22" t="inlineStr">
        <is>
          <t>Incident Reporting: No defined process for HIPAA breach notification timelines.</t>
        </is>
      </c>
      <c r="D12" s="25" t="inlineStr">
        <is>
          <t>Missing</t>
        </is>
      </c>
      <c r="E12" s="22" t="inlineStr">
        <is>
          <t>Clinic Director</t>
        </is>
      </c>
      <c r="F12" s="22" t="inlineStr">
        <is>
          <t>Document HIPAA breach notification timelines and designate who is responsible for notifying HHS/affected patients if needed.</t>
        </is>
      </c>
      <c r="G12" s="22" t="n"/>
    </row>
    <row r="13" ht="48" customHeight="1" s="17">
      <c r="A13" s="21" t="inlineStr">
        <is>
          <t>IA-2</t>
        </is>
      </c>
      <c r="B13" s="22" t="inlineStr">
        <is>
          <t>Identification &amp; Authentication</t>
        </is>
      </c>
      <c r="C13" s="22" t="inlineStr">
        <is>
          <t>Identification and Authentication (Org. Users): Each staff member has an individual login — no shared accounts.</t>
        </is>
      </c>
      <c r="D13" s="24" t="inlineStr">
        <is>
          <t>Implemented</t>
        </is>
      </c>
      <c r="E13" s="22" t="inlineStr">
        <is>
          <t>IT Support Specialist</t>
        </is>
      </c>
      <c r="F13" s="22" t="inlineStr">
        <is>
          <t>Maintain current practice; include unique-ID requirement explicitly in the account management policy.</t>
        </is>
      </c>
      <c r="G13" s="22" t="n"/>
    </row>
    <row r="14" ht="48" customHeight="1" s="17">
      <c r="A14" s="21" t="inlineStr">
        <is>
          <t>IA-5</t>
        </is>
      </c>
      <c r="B14" s="22" t="inlineStr">
        <is>
          <t>Identification &amp; Authentication</t>
        </is>
      </c>
      <c r="C14" s="22" t="inlineStr">
        <is>
          <t>Authenticator Management: Passwords required but no MFA, no enforced complexity/rotation policy.</t>
        </is>
      </c>
      <c r="D14" s="23" t="inlineStr">
        <is>
          <t>Partial</t>
        </is>
      </c>
      <c r="E14" s="22" t="inlineStr">
        <is>
          <t>IT Support Specialist</t>
        </is>
      </c>
      <c r="F14" s="22" t="inlineStr">
        <is>
          <t>Enable MFA on the EHR and email systems, and enforce a minimum password complexity standard.</t>
        </is>
      </c>
      <c r="G14" s="22" t="n"/>
    </row>
    <row r="15" ht="48" customHeight="1" s="17">
      <c r="A15" s="21" t="inlineStr">
        <is>
          <t>SC-7</t>
        </is>
      </c>
      <c r="B15" s="22" t="inlineStr">
        <is>
          <t>System &amp; Communications Protection</t>
        </is>
      </c>
      <c r="C15" s="22" t="inlineStr">
        <is>
          <t>Boundary Protection: Basic firewall in place at the router level; no segmentation between clinical and admin systems.</t>
        </is>
      </c>
      <c r="D15" s="23" t="inlineStr">
        <is>
          <t>Partial</t>
        </is>
      </c>
      <c r="E15" s="22" t="inlineStr">
        <is>
          <t>IT Support Specialist</t>
        </is>
      </c>
      <c r="F15" s="22" t="inlineStr">
        <is>
          <t>Segment clinical systems (EHR) from general office/guest network traffic.</t>
        </is>
      </c>
      <c r="G15" s="22" t="n"/>
    </row>
    <row r="16" ht="48" customHeight="1" s="17">
      <c r="A16" s="21" t="inlineStr">
        <is>
          <t>SC-8</t>
        </is>
      </c>
      <c r="B16" s="22" t="inlineStr">
        <is>
          <t>System &amp; Communications Protection</t>
        </is>
      </c>
      <c r="C16" s="22" t="inlineStr">
        <is>
          <t>Transmission Confidentiality and Integrity: Email is not consistently encrypted when PHI may be discussed.</t>
        </is>
      </c>
      <c r="D16" s="25" t="inlineStr">
        <is>
          <t>Missing</t>
        </is>
      </c>
      <c r="E16" s="22" t="inlineStr">
        <is>
          <t>IT Support Specialist</t>
        </is>
      </c>
      <c r="F16" s="22" t="inlineStr">
        <is>
          <t>Adopt an encrypted email solution or secure patient portal for any communication involving PHI.</t>
        </is>
      </c>
      <c r="G16" s="22" t="n"/>
    </row>
    <row r="17" ht="48" customHeight="1" s="17">
      <c r="A17" s="21" t="inlineStr">
        <is>
          <t>SC-28</t>
        </is>
      </c>
      <c r="B17" s="22" t="inlineStr">
        <is>
          <t>System &amp; Communications Protection</t>
        </is>
      </c>
      <c r="C17" s="22" t="inlineStr">
        <is>
          <t>Protection of Information at Rest: EHR vendor encrypts data at rest; backups are not separately verified as encrypted.</t>
        </is>
      </c>
      <c r="D17" s="23" t="inlineStr">
        <is>
          <t>Partial</t>
        </is>
      </c>
      <c r="E17" s="22" t="inlineStr">
        <is>
          <t>IT Support Specialist</t>
        </is>
      </c>
      <c r="F17" s="22" t="inlineStr">
        <is>
          <t>Confirm and document that backup storage is encrypted, not just the primary EHR database.</t>
        </is>
      </c>
      <c r="G17" s="22" t="n"/>
    </row>
    <row r="18" ht="48" customHeight="1" s="17">
      <c r="A18" s="21" t="inlineStr">
        <is>
          <t>CP-9</t>
        </is>
      </c>
      <c r="B18" s="22" t="inlineStr">
        <is>
          <t>Contingency Planning</t>
        </is>
      </c>
      <c r="C18" s="22" t="inlineStr">
        <is>
          <t>System Backup: Automated backups run regularly via EHR vendor/cloud storage.</t>
        </is>
      </c>
      <c r="D18" s="24" t="inlineStr">
        <is>
          <t>Implemented</t>
        </is>
      </c>
      <c r="E18" s="22" t="inlineStr">
        <is>
          <t>IT Support Specialist</t>
        </is>
      </c>
      <c r="F18" s="22" t="inlineStr">
        <is>
          <t>Maintain current backup schedule; document backup frequency and retention period formally.</t>
        </is>
      </c>
      <c r="G18" s="22" t="n"/>
    </row>
    <row r="19" ht="48" customHeight="1" s="17">
      <c r="A19" s="21" t="inlineStr">
        <is>
          <t>CP-10</t>
        </is>
      </c>
      <c r="B19" s="22" t="inlineStr">
        <is>
          <t>Contingency Planning</t>
        </is>
      </c>
      <c r="C19" s="22" t="inlineStr">
        <is>
          <t>System Recovery and Reconstitution: Backups exist but have never been tested with a restoration drill.</t>
        </is>
      </c>
      <c r="D19" s="25" t="inlineStr">
        <is>
          <t>Missing</t>
        </is>
      </c>
      <c r="E19" s="22" t="inlineStr">
        <is>
          <t>IT Support Specialist</t>
        </is>
      </c>
      <c r="F19" s="22" t="inlineStr">
        <is>
          <t>Conduct a test restoration of backup data at least annually to confirm recoverability.</t>
        </is>
      </c>
      <c r="G19" s="22" t="n"/>
    </row>
    <row r="20" ht="48" customHeight="1" s="17">
      <c r="A20" s="21" t="inlineStr">
        <is>
          <t>CM-2</t>
        </is>
      </c>
      <c r="B20" s="22" t="inlineStr">
        <is>
          <t>Configuration Management</t>
        </is>
      </c>
      <c r="C20" s="22" t="inlineStr">
        <is>
          <t>Baseline Configuration: New workstations are set up inconsistently depending on who configures them.</t>
        </is>
      </c>
      <c r="D20" s="25" t="inlineStr">
        <is>
          <t>Missing</t>
        </is>
      </c>
      <c r="E20" s="22" t="inlineStr">
        <is>
          <t>IT Support Specialist</t>
        </is>
      </c>
      <c r="F20" s="22" t="inlineStr">
        <is>
          <t>Create a standard configuration checklist for new workstation setup (security settings, required software).</t>
        </is>
      </c>
      <c r="G20" s="22" t="n"/>
    </row>
    <row r="21" ht="48" customHeight="1" s="17">
      <c r="A21" s="21" t="inlineStr">
        <is>
          <t>CM-6</t>
        </is>
      </c>
      <c r="B21" s="22" t="inlineStr">
        <is>
          <t>Configuration Management</t>
        </is>
      </c>
      <c r="C21" s="22" t="inlineStr">
        <is>
          <t>Configuration Settings: Screen lock enforced via MDM; other hardening settings inconsistent.</t>
        </is>
      </c>
      <c r="D21" s="23" t="inlineStr">
        <is>
          <t>Partial</t>
        </is>
      </c>
      <c r="E21" s="22" t="inlineStr">
        <is>
          <t>IT Support Specialist</t>
        </is>
      </c>
      <c r="F21" s="22" t="inlineStr">
        <is>
          <t>Extend MDM policy to enforce additional hardening settings beyond screen lock (e.g., disabled USB ports, auto-updates).</t>
        </is>
      </c>
      <c r="G21" s="22" t="n"/>
    </row>
    <row r="22" ht="48" customHeight="1" s="17">
      <c r="A22" s="21" t="inlineStr">
        <is>
          <t>CM-8</t>
        </is>
      </c>
      <c r="B22" s="22" t="inlineStr">
        <is>
          <t>Configuration Management</t>
        </is>
      </c>
      <c r="C22" s="22" t="inlineStr">
        <is>
          <t>System Component Inventory: No formal device/software inventory maintained.</t>
        </is>
      </c>
      <c r="D22" s="25" t="inlineStr">
        <is>
          <t>Missing</t>
        </is>
      </c>
      <c r="E22" s="22" t="inlineStr">
        <is>
          <t>Office Manager</t>
        </is>
      </c>
      <c r="F22" s="22" t="inlineStr">
        <is>
          <t>Build and maintain a simple spreadsheet inventory of all devices, software, and assigned users.</t>
        </is>
      </c>
      <c r="G22" s="22" t="n"/>
    </row>
  </sheetData>
  <mergeCells count="2">
    <mergeCell ref="A2:G2"/>
    <mergeCell ref="A1:G1"/>
  </mergeCells>
  <printOptions horizontalCentered="0" verticalCentered="0" headings="0" gridLines="0" gridLinesSet="1"/>
  <pageMargins left="0.4" right="0.4" top="0.5" bottom="0.5" header="0.5" footer="0.5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6" min="1" max="1"/>
    <col width="16" customWidth="1" style="16" min="2" max="2"/>
  </cols>
  <sheetData>
    <row r="1" ht="19.7" customHeight="1" s="17">
      <c r="A1" s="18" t="inlineStr">
        <is>
          <t>Riverside Physical Therapy — Compliance Posture Summary</t>
        </is>
      </c>
    </row>
    <row r="3" ht="15" customHeight="1" s="17">
      <c r="A3" s="26" t="inlineStr">
        <is>
          <t>Status</t>
        </is>
      </c>
      <c r="B3" s="26" t="inlineStr">
        <is>
          <t>Count</t>
        </is>
      </c>
    </row>
    <row r="4" ht="15" customHeight="1" s="17">
      <c r="A4" s="27" t="inlineStr">
        <is>
          <t>Missing</t>
        </is>
      </c>
      <c r="B4" s="28">
        <f>COUNTIF('Control Matrix'!D5:D22,"Missing")</f>
        <v/>
      </c>
    </row>
    <row r="5" ht="15" customHeight="1" s="17">
      <c r="A5" s="29" t="inlineStr">
        <is>
          <t>Partial</t>
        </is>
      </c>
      <c r="B5" s="28">
        <f>COUNTIF('Control Matrix'!D5:D22,"Partial")</f>
        <v/>
      </c>
    </row>
    <row r="6" ht="15" customHeight="1" s="17">
      <c r="A6" s="30" t="inlineStr">
        <is>
          <t>Implemented</t>
        </is>
      </c>
      <c r="B6" s="28">
        <f>COUNTIF('Control Matrix'!D5:D22,"Implemented")</f>
        <v/>
      </c>
    </row>
    <row r="7" ht="15" customHeight="1" s="17">
      <c r="A7" s="31" t="inlineStr">
        <is>
          <t>Total Controls Assessed</t>
        </is>
      </c>
      <c r="B7" s="31">
        <f>SUM(B4:B6)</f>
        <v/>
      </c>
    </row>
    <row r="9" ht="15" customHeight="1" s="17">
      <c r="A9" s="26" t="inlineStr">
        <is>
          <t>Owner</t>
        </is>
      </c>
      <c r="B9" s="26" t="inlineStr">
        <is>
          <t>Controls Owned</t>
        </is>
      </c>
    </row>
    <row r="10" ht="15" customHeight="1" s="17">
      <c r="A10" s="32" t="inlineStr">
        <is>
          <t>IT Support Specialist</t>
        </is>
      </c>
      <c r="B10" s="28">
        <f>COUNTIF('Control Matrix'!E5:E22,"IT Support Specialist")</f>
        <v/>
      </c>
    </row>
    <row r="11" ht="15" customHeight="1" s="17">
      <c r="A11" s="32" t="inlineStr">
        <is>
          <t>Office Manager</t>
        </is>
      </c>
      <c r="B11" s="28">
        <f>COUNTIF('Control Matrix'!E5:E22,"Office Manager")</f>
        <v/>
      </c>
    </row>
    <row r="12" ht="15" customHeight="1" s="17">
      <c r="A12" s="32" t="inlineStr">
        <is>
          <t>Clinic Director</t>
        </is>
      </c>
      <c r="B12" s="28">
        <f>COUNTIF('Control Matrix'!E5:E22,"Clinic Director")</f>
        <v/>
      </c>
    </row>
  </sheetData>
  <mergeCells count="1">
    <mergeCell ref="A1:D1"/>
  </mergeCells>
  <printOptions horizontalCentered="0" verticalCentered="0" headings="0" gridLines="0" gridLinesSet="1"/>
  <pageMargins left="0.4" right="0.4" top="0.5" bottom="0.5" header="0.5" footer="0.5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2026-06-17T23:15:08Z</dcterms:created>
  <dcterms:modified xmlns:dcterms="http://purl.org/dc/terms/" xmlns:xsi="http://www.w3.org/2001/XMLSchema-instance" xsi:type="dcterms:W3CDTF">2026-06-19T01:11:11Z</dcterms:modified>
  <cp:revision>0</cp:revision>
</cp:coreProperties>
</file>